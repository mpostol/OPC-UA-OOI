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21150" windowWidth="19140" windowHeight="11145" tabRatio="688" activeTab="2"/>
  </bookViews>
  <sheets>
    <sheet name="Home" sheetId="27" r:id="rId1"/>
    <sheet name="InfoModelling" sheetId="25" r:id="rId2"/>
    <sheet name="Rules" sheetId="26" r:id="rId3"/>
    <sheet name="TypeDictionary" sheetId="28" r:id="rId4"/>
  </sheets>
  <definedNames>
    <definedName name="alarmNo">#REF!</definedName>
    <definedName name="basicNo">#REF!</definedName>
    <definedName name="branchNo">#REF!</definedName>
    <definedName name="commentNo">#REF!</definedName>
    <definedName name="CommentTable">#REF!</definedName>
    <definedName name="CompletedCUsTotal">#REF!</definedName>
    <definedName name="CompletionPercentTOTAL">#REF!</definedName>
    <definedName name="conditionClassesNo">#REF!</definedName>
    <definedName name="confirmNo">#REF!</definedName>
    <definedName name="dialogNo">#REF!</definedName>
    <definedName name="discreteNo">#REF!</definedName>
    <definedName name="enableNo">#REF!</definedName>
    <definedName name="instancesNo">#REF!</definedName>
    <definedName name="nxDevNo">#REF!</definedName>
    <definedName name="nxLevelNo">#REF!</definedName>
    <definedName name="nxLimitNo">#REF!</definedName>
    <definedName name="nxROCNo">#REF!</definedName>
    <definedName name="offNormNo">#REF!</definedName>
    <definedName name="ProjectCUs">#REF!</definedName>
    <definedName name="refreshNo">#REF!</definedName>
    <definedName name="shelveNo">#REF!</definedName>
    <definedName name="tripNo">#REF!</definedName>
    <definedName name="wrapperNo">InfoModelling!$B$4:$B$1048576</definedName>
    <definedName name="xDevNo">#REF!</definedName>
    <definedName name="xLimitNo">#REF!</definedName>
    <definedName name="xLvlNo">#REF!</definedName>
    <definedName name="xROCNo">#REF!</definedName>
  </definedNames>
  <calcPr calcId="14562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4" i="27" l="1"/>
  <c r="G4" i="27"/>
  <c r="F4" i="27"/>
  <c r="E4" i="27"/>
  <c r="D4" i="27"/>
  <c r="C4" i="27"/>
  <c r="I3" i="27"/>
  <c r="G3" i="27"/>
  <c r="F3" i="27"/>
  <c r="E3" i="27"/>
  <c r="D3" i="27"/>
  <c r="C3" i="27"/>
  <c r="H4" i="27" l="1"/>
  <c r="H3" i="27"/>
</calcChain>
</file>

<file path=xl/comments1.xml><?xml version="1.0" encoding="utf-8"?>
<comments xmlns="http://schemas.openxmlformats.org/spreadsheetml/2006/main">
  <authors>
    <author>Nathan Pocock</author>
  </authors>
  <commentList>
    <comment ref="E4" authorId="0">
      <text>
        <r>
          <rPr>
            <b/>
            <sz val="9"/>
            <color indexed="81"/>
            <rFont val="Tahoma"/>
            <family val="2"/>
            <charset val="238"/>
          </rPr>
          <t>Nathan Pocock:</t>
        </r>
        <r>
          <rPr>
            <sz val="9"/>
            <color indexed="81"/>
            <rFont val="Tahoma"/>
            <family val="2"/>
            <charset val="238"/>
          </rPr>
          <t xml:space="preserve">
Part 3 section 4.5.1 says Type system is required.</t>
        </r>
      </text>
    </comment>
    <comment ref="G11" authorId="0">
      <text>
        <r>
          <rPr>
            <b/>
            <sz val="9"/>
            <color indexed="81"/>
            <rFont val="Tahoma"/>
            <family val="2"/>
          </rPr>
          <t>Nathan Pocock:</t>
        </r>
        <r>
          <rPr>
            <sz val="9"/>
            <color indexed="81"/>
            <rFont val="Tahoma"/>
            <family val="2"/>
          </rPr>
          <t xml:space="preserve">
https://opcfoundation-onlineapplications.org/mantis/view.php?id=2842</t>
        </r>
      </text>
    </comment>
  </commentList>
</comments>
</file>

<file path=xl/sharedStrings.xml><?xml version="1.0" encoding="utf-8"?>
<sst xmlns="http://schemas.openxmlformats.org/spreadsheetml/2006/main" count="63" uniqueCount="54">
  <si>
    <t>CTT</t>
  </si>
  <si>
    <t>No</t>
  </si>
  <si>
    <t>Step</t>
  </si>
  <si>
    <t>Test Case</t>
  </si>
  <si>
    <t>Test Requirements</t>
  </si>
  <si>
    <t>Expected Results</t>
  </si>
  <si>
    <t>Reviewed</t>
  </si>
  <si>
    <t>SpecLink</t>
  </si>
  <si>
    <t>Information Modelling</t>
  </si>
  <si>
    <t>y</t>
  </si>
  <si>
    <t>Recursively walk through the address space Type system checking each node is correct.</t>
  </si>
  <si>
    <t>The following match their definitions: NodeId, BrowseName, (all attributes), References, Properties, Methods, etc.
All standard UA types must be checked for conformance (see each UA spec for specific data models) and each derived type must be checked against its definition AND the base objects (UA types).</t>
  </si>
  <si>
    <t>Each node contains the correct properties, methods, references, events, as defined by the type.</t>
  </si>
  <si>
    <t>Analyze each property</t>
  </si>
  <si>
    <t>Data type, length, and any other characteristic matches the definition.</t>
  </si>
  <si>
    <t>Analyzer each method</t>
  </si>
  <si>
    <t>Signature matches the definition.</t>
  </si>
  <si>
    <t>Analyze each reference</t>
  </si>
  <si>
    <t>The quantity and type match the definition(s).</t>
  </si>
  <si>
    <t>Recursively analyze sub-objects and their properties, methods, and references etc.</t>
  </si>
  <si>
    <t>All pass.</t>
  </si>
  <si>
    <t>General Modelling Rules</t>
  </si>
  <si>
    <t>These rules will be applied in the CTT and will be validated as part of each test-script.</t>
  </si>
  <si>
    <t>The UACTT will need to be pre-configured with the intimate knowledge of standard UA types and any supplemental information model types.
This can be accomplished via code-generation and using the standard Opc.Ua.Nodeset2.Part&lt;#&gt;.xml files.
Note: Smaller Servers are NOT required to expose a Type System; in this situation this test should exit gracefully and simply log a warning.</t>
  </si>
  <si>
    <t>Standard nodes can be ignored. Any optional characteristics shall be logged as "warnings" only.
Note: For Servers that do not expose a Type system, when following References to check their Type the script must allow the NodeId to point to a "remote" Server (ExpandedNodeId.ServerIndex != 0), but the NodeId must be correct.
Note: For remote Server references, check it exists in the ServerType.ServerArray table.</t>
  </si>
  <si>
    <t>ok</t>
  </si>
  <si>
    <t>General test-cases that can be applied to any information model schema.
The tests defined in this area should be generic enough that they can be applied to ANY information model. Additionally, can be generated from a Nodeset2.xml model.
These test cases assume that ALL of the rules in the "Rules" sheet are being validated.</t>
  </si>
  <si>
    <t>If the type is a Subtype then check the mandatory items from the parent are present.</t>
  </si>
  <si>
    <t>All mandatory types are present. Optional types from the parent may be made Mandatory. Additional items may be added.</t>
  </si>
  <si>
    <r>
      <t xml:space="preserve">SpecLink
</t>
    </r>
    <r>
      <rPr>
        <b/>
        <sz val="9"/>
        <color theme="0"/>
        <rFont val="Calibri"/>
        <family val="2"/>
        <scheme val="minor"/>
      </rPr>
      <t>(part-section-test)</t>
    </r>
  </si>
  <si>
    <t>Focus</t>
  </si>
  <si>
    <t>NodeClass</t>
  </si>
  <si>
    <t>For any given object (pick one) invoke a TranslateBrowsePathsToNodeIds to find an item that is one level deep. Ensure that the case-sensitivity of the request matches what the server provided.</t>
  </si>
  <si>
    <t>The intended target is found and returned.</t>
  </si>
  <si>
    <t>Repeat the above step, but change the case of the BrowseName (e.g. all upper/lower, or invert).</t>
  </si>
  <si>
    <t>Bad_NoMatch.</t>
  </si>
  <si>
    <t>mantis</t>
  </si>
  <si>
    <t>Project Progress Report: at-a-glance</t>
  </si>
  <si>
    <t>#</t>
  </si>
  <si>
    <t>Conformance Unit</t>
  </si>
  <si>
    <t># Test Cases</t>
  </si>
  <si>
    <t># CTT</t>
  </si>
  <si>
    <t># Err</t>
  </si>
  <si>
    <t># Lab</t>
  </si>
  <si>
    <t># Reviewed</t>
  </si>
  <si>
    <t># Remain</t>
  </si>
  <si>
    <t># Mantis</t>
  </si>
  <si>
    <t>Rules</t>
  </si>
  <si>
    <r>
      <rPr>
        <b/>
        <sz val="11"/>
        <color theme="1"/>
        <rFont val="Calibri"/>
        <family val="2"/>
        <scheme val="minor"/>
      </rPr>
      <t>TIP:</t>
    </r>
    <r>
      <rPr>
        <sz val="11"/>
        <color theme="1"/>
        <rFont val="Calibri"/>
        <family val="2"/>
        <scheme val="minor"/>
      </rPr>
      <t xml:space="preserve"> Cache the UA Server's address-space in the CTT, and then do the address-space processing on cached info. This will improve speed &amp; efficiency.</t>
    </r>
  </si>
  <si>
    <t>Recursively walk through the address space analyzing every Node and verifying that it complies with its type definition, and Variable types comply with their data-type.</t>
  </si>
  <si>
    <t>Read the TypeDictionary and decode the 64-bit encoded ByteString into an XML String.</t>
  </si>
  <si>
    <t>Validate the XML schema (provided by the OPCF)</t>
  </si>
  <si>
    <t>For each custom type (structure) found, verify that it exists in the Type system under the "BaseDataType.Structures" folder.</t>
  </si>
  <si>
    <t>If the type is found, then it has a HasEncoding reference.</t>
  </si>
</sst>
</file>

<file path=xl/styles.xml><?xml version="1.0" encoding="utf-8"?>
<styleSheet xmlns="http://schemas.openxmlformats.org/spreadsheetml/2006/main" xmlns:mc="http://schemas.openxmlformats.org/markup-compatibility/2006" xmlns:x14ac="http://schemas.microsoft.com/office/spreadsheetml/2009/9/ac" mc:Ignorable="x14ac">
  <fonts count="12" x14ac:knownFonts="1">
    <font>
      <sz val="11"/>
      <color theme="1"/>
      <name val="Calibri"/>
      <family val="2"/>
      <scheme val="minor"/>
    </font>
    <font>
      <b/>
      <sz val="11"/>
      <color theme="1"/>
      <name val="Calibri"/>
      <family val="2"/>
      <scheme val="minor"/>
    </font>
    <font>
      <sz val="11"/>
      <color theme="1"/>
      <name val="Calibri"/>
      <family val="2"/>
      <scheme val="minor"/>
    </font>
    <font>
      <b/>
      <sz val="15"/>
      <color theme="3"/>
      <name val="Calibri"/>
      <family val="2"/>
      <scheme val="minor"/>
    </font>
    <font>
      <b/>
      <sz val="11"/>
      <color theme="0"/>
      <name val="Calibri"/>
      <family val="2"/>
      <scheme val="minor"/>
    </font>
    <font>
      <sz val="9"/>
      <color indexed="81"/>
      <name val="Tahoma"/>
      <family val="2"/>
      <charset val="238"/>
    </font>
    <font>
      <b/>
      <sz val="9"/>
      <color indexed="81"/>
      <name val="Tahoma"/>
      <family val="2"/>
      <charset val="238"/>
    </font>
    <font>
      <b/>
      <sz val="9"/>
      <color theme="0"/>
      <name val="Calibri"/>
      <family val="2"/>
      <scheme val="minor"/>
    </font>
    <font>
      <sz val="9"/>
      <color indexed="81"/>
      <name val="Tahoma"/>
      <family val="2"/>
    </font>
    <font>
      <b/>
      <sz val="9"/>
      <color indexed="81"/>
      <name val="Tahoma"/>
      <family val="2"/>
    </font>
    <font>
      <sz val="11"/>
      <name val="Calibri"/>
      <family val="2"/>
      <scheme val="minor"/>
    </font>
    <font>
      <b/>
      <sz val="20"/>
      <color theme="1"/>
      <name val="Calibri"/>
      <family val="2"/>
      <scheme val="minor"/>
    </font>
  </fonts>
  <fills count="6">
    <fill>
      <patternFill patternType="none"/>
    </fill>
    <fill>
      <patternFill patternType="gray125"/>
    </fill>
    <fill>
      <patternFill patternType="solid">
        <fgColor theme="6" tint="0.79998168889431442"/>
        <bgColor indexed="65"/>
      </patternFill>
    </fill>
    <fill>
      <patternFill patternType="solid">
        <fgColor theme="4"/>
        <bgColor theme="4"/>
      </patternFill>
    </fill>
    <fill>
      <patternFill patternType="solid">
        <fgColor theme="0" tint="-4.9989318521683403E-2"/>
        <bgColor indexed="64"/>
      </patternFill>
    </fill>
    <fill>
      <patternFill patternType="solid">
        <fgColor rgb="FFFFFF00"/>
        <bgColor indexed="64"/>
      </patternFill>
    </fill>
  </fills>
  <borders count="7">
    <border>
      <left/>
      <right/>
      <top/>
      <bottom/>
      <diagonal/>
    </border>
    <border>
      <left/>
      <right/>
      <top/>
      <bottom style="thin">
        <color indexed="64"/>
      </bottom>
      <diagonal/>
    </border>
    <border>
      <left/>
      <right/>
      <top/>
      <bottom style="thick">
        <color theme="4"/>
      </bottom>
      <diagonal/>
    </border>
    <border>
      <left/>
      <right/>
      <top style="thin">
        <color indexed="64"/>
      </top>
      <bottom style="thin">
        <color indexed="64"/>
      </bottom>
      <diagonal/>
    </border>
    <border>
      <left/>
      <right style="thin">
        <color theme="0"/>
      </right>
      <top/>
      <bottom style="thin">
        <color indexed="64"/>
      </bottom>
      <diagonal/>
    </border>
    <border>
      <left style="thin">
        <color theme="0"/>
      </left>
      <right style="thin">
        <color theme="0"/>
      </right>
      <top/>
      <bottom style="thin">
        <color indexed="64"/>
      </bottom>
      <diagonal/>
    </border>
    <border>
      <left/>
      <right/>
      <top style="thick">
        <color theme="4"/>
      </top>
      <bottom/>
      <diagonal/>
    </border>
  </borders>
  <cellStyleXfs count="3">
    <xf numFmtId="0" fontId="0" fillId="0" borderId="0"/>
    <xf numFmtId="0" fontId="3" fillId="0" borderId="2" applyNumberFormat="0" applyFill="0" applyAlignment="0" applyProtection="0"/>
    <xf numFmtId="0" fontId="2" fillId="2" borderId="0" applyNumberFormat="0" applyBorder="0" applyAlignment="0" applyProtection="0"/>
  </cellStyleXfs>
  <cellXfs count="29">
    <xf numFmtId="0" fontId="0" fillId="0" borderId="0" xfId="0"/>
    <xf numFmtId="0" fontId="0" fillId="0" borderId="0" xfId="0" applyAlignment="1">
      <alignment horizontal="center" vertical="top"/>
    </xf>
    <xf numFmtId="0" fontId="1" fillId="0" borderId="1" xfId="0" applyFont="1" applyBorder="1" applyAlignment="1">
      <alignment vertical="top" wrapText="1"/>
    </xf>
    <xf numFmtId="0" fontId="0" fillId="0" borderId="0" xfId="0" applyAlignment="1">
      <alignment vertical="top"/>
    </xf>
    <xf numFmtId="0" fontId="1" fillId="0" borderId="1" xfId="0" applyFont="1" applyBorder="1" applyAlignment="1">
      <alignment horizontal="center" vertical="top" wrapText="1"/>
    </xf>
    <xf numFmtId="0" fontId="0" fillId="0" borderId="0" xfId="0" applyAlignment="1">
      <alignment horizontal="left" vertical="top" wrapText="1"/>
    </xf>
    <xf numFmtId="0" fontId="0" fillId="0" borderId="3" xfId="0" applyBorder="1" applyAlignment="1">
      <alignment horizontal="center" vertical="top"/>
    </xf>
    <xf numFmtId="0" fontId="0" fillId="0" borderId="3" xfId="0" applyBorder="1" applyAlignment="1">
      <alignment horizontal="left" vertical="top" wrapText="1"/>
    </xf>
    <xf numFmtId="0" fontId="0" fillId="0" borderId="3" xfId="0" applyBorder="1" applyAlignment="1">
      <alignment vertical="top"/>
    </xf>
    <xf numFmtId="0" fontId="0" fillId="0" borderId="0" xfId="0" applyBorder="1" applyAlignment="1">
      <alignment horizontal="center" vertical="top"/>
    </xf>
    <xf numFmtId="0" fontId="0" fillId="0" borderId="0" xfId="0" applyBorder="1" applyAlignment="1">
      <alignment horizontal="left" vertical="top" wrapText="1"/>
    </xf>
    <xf numFmtId="0" fontId="0" fillId="0" borderId="0" xfId="0" applyBorder="1" applyAlignment="1">
      <alignment vertical="top"/>
    </xf>
    <xf numFmtId="0" fontId="4" fillId="3" borderId="4" xfId="0" applyFont="1" applyFill="1" applyBorder="1" applyAlignment="1">
      <alignment horizontal="center" vertical="top" wrapText="1"/>
    </xf>
    <xf numFmtId="0" fontId="4" fillId="3" borderId="5" xfId="0" applyFont="1" applyFill="1" applyBorder="1" applyAlignment="1">
      <alignment horizontal="center" vertical="top" wrapText="1"/>
    </xf>
    <xf numFmtId="0" fontId="0" fillId="0" borderId="0" xfId="0" applyAlignment="1">
      <alignment horizontal="left" vertical="top"/>
    </xf>
    <xf numFmtId="0" fontId="0" fillId="4" borderId="0" xfId="0" applyFill="1" applyAlignment="1">
      <alignment vertical="top"/>
    </xf>
    <xf numFmtId="0" fontId="11" fillId="0" borderId="0" xfId="0" applyFont="1" applyAlignment="1">
      <alignment vertical="top"/>
    </xf>
    <xf numFmtId="0" fontId="1" fillId="0" borderId="0" xfId="0" applyFont="1" applyAlignment="1">
      <alignment vertical="top"/>
    </xf>
    <xf numFmtId="0" fontId="1" fillId="0" borderId="0" xfId="0" applyFont="1" applyAlignment="1">
      <alignment horizontal="center" vertical="top"/>
    </xf>
    <xf numFmtId="49" fontId="0" fillId="0" borderId="0" xfId="0" applyNumberFormat="1" applyAlignment="1">
      <alignment horizontal="center" vertical="top"/>
    </xf>
    <xf numFmtId="49" fontId="0" fillId="0" borderId="0" xfId="0" applyNumberFormat="1" applyAlignment="1">
      <alignment horizontal="center" vertical="top" wrapText="1"/>
    </xf>
    <xf numFmtId="49" fontId="0" fillId="0" borderId="0" xfId="0" applyNumberFormat="1" applyAlignment="1">
      <alignment horizontal="left" vertical="top" wrapText="1"/>
    </xf>
    <xf numFmtId="49" fontId="0" fillId="0" borderId="0" xfId="0" applyNumberFormat="1" applyAlignment="1">
      <alignment vertical="top" wrapText="1"/>
    </xf>
    <xf numFmtId="49" fontId="10" fillId="0" borderId="0" xfId="0" applyNumberFormat="1" applyFont="1" applyAlignment="1">
      <alignment horizontal="left" vertical="top" wrapText="1"/>
    </xf>
    <xf numFmtId="0" fontId="3" fillId="0" borderId="2" xfId="1" applyAlignment="1">
      <alignment vertical="top"/>
    </xf>
    <xf numFmtId="0" fontId="0" fillId="2" borderId="0" xfId="2" applyFont="1" applyAlignment="1">
      <alignment vertical="top" wrapText="1"/>
    </xf>
    <xf numFmtId="0" fontId="2" fillId="2" borderId="0" xfId="2" applyAlignment="1">
      <alignment vertical="top"/>
    </xf>
    <xf numFmtId="0" fontId="0" fillId="0" borderId="6" xfId="0" applyBorder="1" applyAlignment="1">
      <alignment vertical="top"/>
    </xf>
    <xf numFmtId="0" fontId="0" fillId="5" borderId="0" xfId="0" applyFill="1" applyBorder="1" applyAlignment="1">
      <alignment horizontal="left" vertical="top"/>
    </xf>
  </cellXfs>
  <cellStyles count="3">
    <cellStyle name="20% - Accent3" xfId="2" builtinId="38"/>
    <cellStyle name="Heading 1" xfId="1" builtinId="16"/>
    <cellStyle name="Normal" xfId="0" builtinId="0"/>
  </cellStyles>
  <dxfs count="22">
    <dxf>
      <alignment horizontal="center" vertical="top" textRotation="0" wrapText="0" indent="0" justifyLastLine="0" shrinkToFit="0" readingOrder="0"/>
    </dxf>
    <dxf>
      <alignment horizontal="left" vertical="top" textRotation="0" wrapText="1" indent="0" justifyLastLine="0" shrinkToFit="0" readingOrder="0"/>
    </dxf>
    <dxf>
      <alignment horizontal="left" vertical="top" textRotation="0" wrapText="1" indent="0" justifyLastLine="0" shrinkToFit="0" readingOrder="0"/>
    </dxf>
    <dxf>
      <alignment horizontal="center" vertical="top" textRotation="0" wrapText="0" indent="0" justifyLastLine="0" shrinkToFit="0" readingOrder="0"/>
    </dxf>
    <dxf>
      <alignment horizontal="center" vertical="top" textRotation="0" wrapText="1"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left" vertical="top"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center" vertical="top" textRotation="0" wrapText="1" indent="0" justifyLastLine="0" shrinkToFit="0" readingOrder="0"/>
      <border diagonalUp="0" diagonalDown="0" outline="0">
        <left style="thin">
          <color theme="0"/>
        </left>
        <right style="thin">
          <color theme="0"/>
        </right>
        <top/>
        <bottom/>
      </border>
    </dxf>
    <dxf>
      <alignment horizontal="center" vertical="top" textRotation="0" wrapText="0" indent="0" justifyLastLine="0" shrinkToFit="0" readingOrder="0"/>
    </dxf>
    <dxf>
      <alignment horizontal="center" vertical="top" textRotation="0" wrapText="0" indent="0" justifyLastLine="0" shrinkToFit="0" readingOrder="0"/>
    </dxf>
    <dxf>
      <alignment horizontal="left" vertical="top" textRotation="0" wrapText="1" indent="0" justifyLastLine="0" shrinkToFit="0" readingOrder="0"/>
    </dxf>
    <dxf>
      <alignment horizontal="left" vertical="top" textRotation="0" wrapText="1" indent="0" justifyLastLine="0" shrinkToFit="0" readingOrder="0"/>
    </dxf>
    <dxf>
      <alignment horizontal="left" vertical="top" textRotation="0" wrapText="1"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alignment horizontal="general" vertical="top" textRotation="0" indent="0" justifyLastLine="0" shrinkToFit="0" readingOrder="0"/>
    </dxf>
    <dxf>
      <border outline="0">
        <bottom style="thin">
          <color indexed="64"/>
        </bottom>
      </border>
    </dxf>
    <dxf>
      <font>
        <b/>
        <i val="0"/>
        <strike val="0"/>
        <condense val="0"/>
        <extend val="0"/>
        <outline val="0"/>
        <shadow val="0"/>
        <u val="none"/>
        <vertAlign val="baseline"/>
        <sz val="11"/>
        <color theme="1"/>
        <name val="Calibri"/>
        <scheme val="minor"/>
      </font>
      <alignment horizontal="general" vertical="top"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commsvr.com/UAOOI/SemanticData/UANodeSetValidation/OPCFCTTInformationModelling.xsd'">
  <Schema ID="Schema1" Namespace="http://commsvr.com/UAOOI/SemanticData/UANodeSetValidation/OPCFCTTInformationModelling.xsd">
    <xs:schema xmlns="http://commsvr.com/UAOOI/SemanticData/UANodeSetValidation/OPCFCTTInformationModelling.xsd" xmlns:mstns="http://tempuri.org/XMLSchema1.xsd" xmlns:xs="http://www.w3.org/2001/XMLSchema" id="XMLSchema1" targetNamespace="http://commsvr.com/UAOOI/SemanticData/UANodeSetValidation/OPCFCTTInformationModelling.xsd" elementFormDefault="qualified">
      <xs:element name="UseCases" type="Tests">
			</xs:element>
      <xs:complexType name="Tests">
        <xs:sequence>
          <xs:element name="TestCase" minOccurs="0" maxOccurs="unbounded">
            <xs:complexType>
              <xs:sequence>
                <xs:element name="CTT" type="xs:string" minOccurs="0" maxOccurs="1"/>
                <xs:element name="SpecLink" type="xs:string" minOccurs="0" maxOccurs="1"/>
                <xs:element name="Step" type="xs:string" minOccurs="0" maxOccurs="1"/>
                <xs:element name="NodeClass" type="xs:string" minOccurs="0" maxOccurs="1"/>
                <xs:element name="Focus" type="xs:string"/>
                <xs:element name="TestCase" type="xs:string" minOccurs="0" maxOccurs="1"/>
                <xs:element name="ExpectedResults" type="xs:string" minOccurs="0" maxOccurs="1"/>
                <xs:element name="Reviewed" type="xs:string" minOccurs="0" maxOccurs="1"/>
              </xs:sequence>
            </xs:complexType>
          </xs:element>
        </xs:sequence>
      </xs:complexType>
    </xs:schema>
  </Schema>
  <Map ID="5" Name="UseCases_Map" RootElement="UseCases" SchemaID="Schema1"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calcChain" Target="calcChain.xml"/><Relationship Id="rId13" Type="http://schemas.openxmlformats.org/officeDocument/2006/relationships/xmlMaps" Target="xmlMaps.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ables/table1.xml><?xml version="1.0" encoding="utf-8"?>
<table xmlns="http://schemas.openxmlformats.org/spreadsheetml/2006/main" id="27" name="TableWrapper" displayName="TableWrapper" ref="A3:H17" totalsRowShown="0" headerRowDxfId="21" dataDxfId="19" headerRowBorderDxfId="20">
  <autoFilter ref="A3:H17"/>
  <tableColumns count="8">
    <tableColumn id="1" name="CTT" dataDxfId="18"/>
    <tableColumn id="2" name="No" dataDxfId="17"/>
    <tableColumn id="3" name="Step" dataDxfId="16"/>
    <tableColumn id="4" name="Test Case" dataDxfId="15"/>
    <tableColumn id="5" name="Test Requirements" dataDxfId="14"/>
    <tableColumn id="6" name="Expected Results" dataDxfId="13"/>
    <tableColumn id="7" name="Reviewed" dataDxfId="12"/>
    <tableColumn id="8" name="SpecLink" dataDxfId="11"/>
  </tableColumns>
  <tableStyleInfo name="TableStyleMedium9" showFirstColumn="0" showLastColumn="0" showRowStripes="1" showColumnStripes="0"/>
</table>
</file>

<file path=xl/tables/table2.xml><?xml version="1.0" encoding="utf-8"?>
<table xmlns="http://schemas.openxmlformats.org/spreadsheetml/2006/main" id="1" name="Table1" displayName="Table1" ref="A4:H5" tableType="xml" insertRow="1" totalsRowShown="0" headerRowDxfId="10" dataDxfId="8" headerRowBorderDxfId="9">
  <autoFilter ref="A4:H5"/>
  <tableColumns count="8">
    <tableColumn id="1" uniqueName="ns1:CTT" name="CTT" dataDxfId="7">
      <xmlColumnPr mapId="5" xpath="/ns1:UseCases/ns1:TestCase/ns1:CTT" xmlDataType="string"/>
    </tableColumn>
    <tableColumn id="2" uniqueName="ns1:SpecLink" name="SpecLink_x000a_(part-section-test)" dataDxfId="6">
      <xmlColumnPr mapId="5" xpath="/ns1:UseCases/ns1:TestCase/ns1:SpecLink" xmlDataType="string"/>
    </tableColumn>
    <tableColumn id="8" uniqueName="ns1:Step" name="Step" dataDxfId="5">
      <xmlColumnPr mapId="5" xpath="/ns1:UseCases/ns1:TestCase/ns1:Step" xmlDataType="string"/>
    </tableColumn>
    <tableColumn id="5" uniqueName="ns1:NodeClass" name="NodeClass" dataDxfId="4">
      <xmlColumnPr mapId="5" xpath="/ns1:UseCases/ns1:TestCase/ns1:NodeClass" xmlDataType="string"/>
    </tableColumn>
    <tableColumn id="3" uniqueName="ns1:Focus" name="Focus" dataDxfId="3">
      <xmlColumnPr mapId="5" xpath="/ns1:UseCases/ns1:TestCase/ns1:Focus" xmlDataType="string"/>
    </tableColumn>
    <tableColumn id="4" uniqueName="ns1:TestCase" name="Test Case" dataDxfId="2">
      <xmlColumnPr mapId="5" xpath="/ns1:UseCases/ns1:TestCase/ns1:TestCase" xmlDataType="string"/>
    </tableColumn>
    <tableColumn id="6" uniqueName="ns1:ExpectedResults" name="Expected Results" dataDxfId="1">
      <xmlColumnPr mapId="5" xpath="/ns1:UseCases/ns1:TestCase/ns1:ExpectedResults" xmlDataType="string"/>
    </tableColumn>
    <tableColumn id="7" uniqueName="ns1:Reviewed" name="Reviewed" dataDxfId="0">
      <xmlColumnPr mapId="5" xpath="/ns1:UseCases/ns1:TestCase/ns1:Reviewed" xmlDataType="string"/>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4"/>
  <sheetViews>
    <sheetView workbookViewId="0">
      <selection activeCell="B4" sqref="B4"/>
    </sheetView>
  </sheetViews>
  <sheetFormatPr defaultRowHeight="15" x14ac:dyDescent="0.25"/>
  <cols>
    <col min="2" max="2" width="23.5703125" customWidth="1"/>
    <col min="3" max="3" width="16" customWidth="1"/>
    <col min="7" max="7" width="11.28515625" bestFit="1" customWidth="1"/>
    <col min="9" max="9" width="8.5703125" bestFit="1" customWidth="1"/>
  </cols>
  <sheetData>
    <row r="1" spans="1:9" ht="26.25" x14ac:dyDescent="0.25">
      <c r="A1" s="15"/>
      <c r="B1" s="16" t="s">
        <v>37</v>
      </c>
      <c r="C1" s="1"/>
      <c r="D1" s="1"/>
      <c r="E1" s="1"/>
      <c r="F1" s="1"/>
      <c r="G1" s="1"/>
      <c r="H1" s="1"/>
      <c r="I1" s="1"/>
    </row>
    <row r="2" spans="1:9" x14ac:dyDescent="0.25">
      <c r="A2" s="15" t="s">
        <v>38</v>
      </c>
      <c r="B2" s="17" t="s">
        <v>39</v>
      </c>
      <c r="C2" s="18" t="s">
        <v>40</v>
      </c>
      <c r="D2" s="18" t="s">
        <v>41</v>
      </c>
      <c r="E2" s="18" t="s">
        <v>42</v>
      </c>
      <c r="F2" s="18" t="s">
        <v>43</v>
      </c>
      <c r="G2" s="18" t="s">
        <v>44</v>
      </c>
      <c r="H2" s="18" t="s">
        <v>45</v>
      </c>
      <c r="I2" s="18" t="s">
        <v>46</v>
      </c>
    </row>
    <row r="3" spans="1:9" x14ac:dyDescent="0.25">
      <c r="A3">
        <v>1</v>
      </c>
      <c r="B3" t="s">
        <v>8</v>
      </c>
      <c r="C3">
        <f>COUNTA(TableWrapper[CTT])</f>
        <v>3</v>
      </c>
      <c r="D3">
        <f>COUNTIF(TableWrapper[CTT],"y")</f>
        <v>3</v>
      </c>
      <c r="E3">
        <f>COUNTIF(TableWrapper[CTT],"e")</f>
        <v>0</v>
      </c>
      <c r="F3">
        <f>COUNTIF(TableWrapper[CTT],"n")</f>
        <v>0</v>
      </c>
      <c r="G3">
        <f>COUNTIF(TableWrapper[Reviewed],"ok")</f>
        <v>2</v>
      </c>
      <c r="H3">
        <f>C3-G3</f>
        <v>1</v>
      </c>
      <c r="I3">
        <f>COUNTIF(TableWrapper[Reviewed],"mantis")</f>
        <v>1</v>
      </c>
    </row>
    <row r="4" spans="1:9" x14ac:dyDescent="0.25">
      <c r="A4">
        <v>2</v>
      </c>
      <c r="B4" t="s">
        <v>47</v>
      </c>
      <c r="C4">
        <f>COUNTA(Table1[CTT])</f>
        <v>0</v>
      </c>
      <c r="D4">
        <f>COUNTIF(Table1[CTT],"y")</f>
        <v>0</v>
      </c>
      <c r="E4">
        <f>COUNTIF(Table1[CTT],"e")</f>
        <v>0</v>
      </c>
      <c r="F4">
        <f>COUNTIF(Table1[CTT],"n")</f>
        <v>0</v>
      </c>
      <c r="G4">
        <f>COUNTIF(Table1[Reviewed],"ok")</f>
        <v>0</v>
      </c>
      <c r="H4">
        <f>C4-G4</f>
        <v>0</v>
      </c>
      <c r="I4">
        <f>COUNTIF(Table1[Reviewed],"mantis")</f>
        <v>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dimension ref="A1:H22"/>
  <sheetViews>
    <sheetView zoomScaleNormal="100" workbookViewId="0">
      <selection activeCell="D8" sqref="D8"/>
    </sheetView>
  </sheetViews>
  <sheetFormatPr defaultColWidth="0" defaultRowHeight="15" zeroHeight="1" x14ac:dyDescent="0.25"/>
  <cols>
    <col min="1" max="1" width="9.140625" style="3" customWidth="1"/>
    <col min="2" max="2" width="10" style="3" customWidth="1"/>
    <col min="3" max="3" width="8.28515625" style="3" customWidth="1"/>
    <col min="4" max="4" width="35.5703125" style="3" customWidth="1"/>
    <col min="5" max="5" width="44.42578125" style="3" customWidth="1"/>
    <col min="6" max="6" width="61.7109375" style="3" customWidth="1"/>
    <col min="7" max="7" width="14.7109375" style="3" customWidth="1"/>
    <col min="8" max="8" width="17.7109375" style="3" customWidth="1"/>
    <col min="9" max="16384" width="9.140625" style="3" hidden="1"/>
  </cols>
  <sheetData>
    <row r="1" spans="1:8" ht="20.25" thickBot="1" x14ac:dyDescent="0.3">
      <c r="A1" s="24" t="s">
        <v>8</v>
      </c>
      <c r="B1" s="24"/>
      <c r="C1" s="24"/>
      <c r="D1" s="24"/>
      <c r="E1" s="24"/>
      <c r="F1" s="24"/>
      <c r="G1" s="24"/>
      <c r="H1" s="24"/>
    </row>
    <row r="2" spans="1:8" ht="70.5" customHeight="1" thickTop="1" x14ac:dyDescent="0.25">
      <c r="A2" s="25" t="s">
        <v>26</v>
      </c>
      <c r="B2" s="26"/>
      <c r="C2" s="26"/>
      <c r="D2" s="26"/>
      <c r="E2" s="26"/>
      <c r="F2" s="26"/>
      <c r="G2" s="26"/>
      <c r="H2" s="26"/>
    </row>
    <row r="3" spans="1:8" s="2" customFormat="1" x14ac:dyDescent="0.25">
      <c r="A3" s="4" t="s">
        <v>0</v>
      </c>
      <c r="B3" s="4" t="s">
        <v>1</v>
      </c>
      <c r="C3" s="4" t="s">
        <v>2</v>
      </c>
      <c r="D3" s="4" t="s">
        <v>3</v>
      </c>
      <c r="E3" s="4" t="s">
        <v>4</v>
      </c>
      <c r="F3" s="4" t="s">
        <v>5</v>
      </c>
      <c r="G3" s="4" t="s">
        <v>6</v>
      </c>
      <c r="H3" s="4" t="s">
        <v>7</v>
      </c>
    </row>
    <row r="4" spans="1:8" s="8" customFormat="1" ht="165" x14ac:dyDescent="0.25">
      <c r="A4" s="6" t="s">
        <v>9</v>
      </c>
      <c r="B4" s="6">
        <v>0</v>
      </c>
      <c r="C4" s="6"/>
      <c r="D4" s="7" t="s">
        <v>10</v>
      </c>
      <c r="E4" s="7" t="s">
        <v>23</v>
      </c>
      <c r="F4" s="7" t="s">
        <v>11</v>
      </c>
      <c r="G4" s="6" t="s">
        <v>25</v>
      </c>
      <c r="H4" s="6"/>
    </row>
    <row r="5" spans="1:8" ht="195" x14ac:dyDescent="0.25">
      <c r="A5" s="1" t="s">
        <v>9</v>
      </c>
      <c r="B5" s="1">
        <v>1</v>
      </c>
      <c r="C5" s="1">
        <v>1</v>
      </c>
      <c r="D5" s="5" t="s">
        <v>49</v>
      </c>
      <c r="E5" s="5" t="s">
        <v>24</v>
      </c>
      <c r="F5" s="5" t="s">
        <v>12</v>
      </c>
      <c r="G5" s="1" t="s">
        <v>25</v>
      </c>
      <c r="H5" s="1"/>
    </row>
    <row r="6" spans="1:8" ht="45" x14ac:dyDescent="0.25">
      <c r="A6" s="1"/>
      <c r="B6" s="1"/>
      <c r="C6" s="1"/>
      <c r="D6" s="5" t="s">
        <v>27</v>
      </c>
      <c r="E6" s="5"/>
      <c r="F6" s="5" t="s">
        <v>28</v>
      </c>
      <c r="G6" s="1"/>
      <c r="H6" s="1"/>
    </row>
    <row r="7" spans="1:8" ht="30" x14ac:dyDescent="0.25">
      <c r="A7" s="1"/>
      <c r="B7" s="1"/>
      <c r="C7" s="1">
        <v>2</v>
      </c>
      <c r="D7" s="5" t="s">
        <v>13</v>
      </c>
      <c r="E7" s="5"/>
      <c r="F7" s="5" t="s">
        <v>14</v>
      </c>
      <c r="G7" s="1"/>
      <c r="H7" s="1"/>
    </row>
    <row r="8" spans="1:8" x14ac:dyDescent="0.25">
      <c r="A8" s="1"/>
      <c r="B8" s="1"/>
      <c r="C8" s="1">
        <v>3</v>
      </c>
      <c r="D8" s="5" t="s">
        <v>15</v>
      </c>
      <c r="E8" s="5"/>
      <c r="F8" s="5" t="s">
        <v>16</v>
      </c>
      <c r="G8" s="1"/>
      <c r="H8" s="1"/>
    </row>
    <row r="9" spans="1:8" s="11" customFormat="1" x14ac:dyDescent="0.25">
      <c r="A9" s="9"/>
      <c r="B9" s="9"/>
      <c r="C9" s="9">
        <v>4</v>
      </c>
      <c r="D9" s="10" t="s">
        <v>17</v>
      </c>
      <c r="E9" s="10"/>
      <c r="F9" s="10" t="s">
        <v>18</v>
      </c>
      <c r="G9" s="9"/>
      <c r="H9" s="9"/>
    </row>
    <row r="10" spans="1:8" s="11" customFormat="1" ht="45" x14ac:dyDescent="0.25">
      <c r="A10" s="9"/>
      <c r="B10" s="9"/>
      <c r="C10" s="9">
        <v>5</v>
      </c>
      <c r="D10" s="10" t="s">
        <v>19</v>
      </c>
      <c r="E10" s="10"/>
      <c r="F10" s="10" t="s">
        <v>20</v>
      </c>
      <c r="G10" s="9"/>
      <c r="H10" s="9"/>
    </row>
    <row r="11" spans="1:8" ht="90" x14ac:dyDescent="0.25">
      <c r="A11" s="1" t="s">
        <v>9</v>
      </c>
      <c r="B11" s="1">
        <v>1</v>
      </c>
      <c r="C11" s="1">
        <v>1</v>
      </c>
      <c r="D11" s="5" t="s">
        <v>32</v>
      </c>
      <c r="E11" s="5"/>
      <c r="F11" s="5" t="s">
        <v>33</v>
      </c>
      <c r="G11" s="1" t="s">
        <v>36</v>
      </c>
      <c r="H11" s="1"/>
    </row>
    <row r="12" spans="1:8" ht="45" x14ac:dyDescent="0.25">
      <c r="A12" s="1"/>
      <c r="B12" s="1"/>
      <c r="C12" s="1">
        <v>2</v>
      </c>
      <c r="D12" s="5" t="s">
        <v>34</v>
      </c>
      <c r="E12" s="5"/>
      <c r="F12" s="5" t="s">
        <v>35</v>
      </c>
      <c r="G12" s="1"/>
      <c r="H12" s="1"/>
    </row>
    <row r="13" spans="1:8" x14ac:dyDescent="0.25">
      <c r="A13" s="1"/>
      <c r="B13" s="1"/>
      <c r="C13" s="1"/>
      <c r="D13" s="5"/>
      <c r="E13" s="5"/>
      <c r="F13" s="5"/>
      <c r="G13" s="1"/>
      <c r="H13" s="1"/>
    </row>
    <row r="14" spans="1:8" x14ac:dyDescent="0.25">
      <c r="A14" s="1"/>
      <c r="B14" s="1"/>
      <c r="C14" s="1"/>
      <c r="D14" s="5"/>
      <c r="E14" s="5"/>
      <c r="F14" s="5"/>
      <c r="G14" s="1"/>
      <c r="H14" s="1"/>
    </row>
    <row r="15" spans="1:8" x14ac:dyDescent="0.25">
      <c r="A15" s="1"/>
      <c r="B15" s="1"/>
      <c r="C15" s="1"/>
      <c r="D15" s="5"/>
      <c r="E15" s="5"/>
      <c r="F15" s="5"/>
      <c r="G15" s="1"/>
      <c r="H15" s="1"/>
    </row>
    <row r="16" spans="1:8" x14ac:dyDescent="0.25">
      <c r="A16" s="1"/>
      <c r="B16" s="1"/>
      <c r="C16" s="1"/>
      <c r="D16" s="5"/>
      <c r="E16" s="5"/>
      <c r="F16" s="5"/>
      <c r="G16" s="1"/>
      <c r="H16" s="1"/>
    </row>
    <row r="17" spans="1:8" x14ac:dyDescent="0.25">
      <c r="A17" s="1"/>
      <c r="B17" s="1"/>
      <c r="C17" s="1"/>
      <c r="D17" s="5"/>
      <c r="E17" s="5"/>
      <c r="F17" s="5"/>
      <c r="G17" s="1"/>
      <c r="H17" s="1"/>
    </row>
    <row r="18" spans="1:8" x14ac:dyDescent="0.25"/>
    <row r="19" spans="1:8" x14ac:dyDescent="0.25"/>
    <row r="20" spans="1:8" x14ac:dyDescent="0.25"/>
    <row r="21" spans="1:8" x14ac:dyDescent="0.25"/>
    <row r="22" spans="1:8" x14ac:dyDescent="0.25"/>
  </sheetData>
  <mergeCells count="2">
    <mergeCell ref="A1:H1"/>
    <mergeCell ref="A2:H2"/>
  </mergeCells>
  <pageMargins left="0.7" right="0.7" top="0.75" bottom="0.75" header="0.3" footer="0.3"/>
  <legacy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71"/>
  <sheetViews>
    <sheetView tabSelected="1" zoomScale="80" zoomScaleNormal="80" workbookViewId="0">
      <pane ySplit="4" topLeftCell="A5" activePane="bottomLeft" state="frozenSplit"/>
      <selection pane="bottomLeft" activeCell="A5" sqref="A5:H5"/>
    </sheetView>
  </sheetViews>
  <sheetFormatPr defaultColWidth="0" defaultRowHeight="15" zeroHeight="1" x14ac:dyDescent="0.25"/>
  <cols>
    <col min="1" max="1" width="9.140625" style="3" customWidth="1"/>
    <col min="2" max="2" width="20" style="3" bestFit="1" customWidth="1"/>
    <col min="3" max="3" width="10.5703125" style="3" customWidth="1"/>
    <col min="4" max="4" width="15.28515625" style="3" customWidth="1"/>
    <col min="5" max="5" width="22.28515625" style="3" customWidth="1"/>
    <col min="6" max="6" width="48.7109375" style="14" customWidth="1"/>
    <col min="7" max="7" width="67.140625" style="14" customWidth="1"/>
    <col min="8" max="8" width="16.28515625" style="3" customWidth="1"/>
    <col min="9" max="9" width="9.140625" style="3" hidden="1" customWidth="1"/>
    <col min="10" max="11" width="0" style="3" hidden="1" customWidth="1"/>
    <col min="12" max="16384" width="9.140625" style="3" hidden="1"/>
  </cols>
  <sheetData>
    <row r="1" spans="1:8" ht="20.25" thickBot="1" x14ac:dyDescent="0.3">
      <c r="A1" s="24" t="s">
        <v>21</v>
      </c>
      <c r="B1" s="24"/>
      <c r="C1" s="24"/>
      <c r="D1" s="24"/>
      <c r="E1" s="24"/>
      <c r="F1" s="24"/>
      <c r="G1" s="24"/>
      <c r="H1" s="24"/>
    </row>
    <row r="2" spans="1:8" ht="15.75" thickTop="1" x14ac:dyDescent="0.25">
      <c r="A2" s="27" t="s">
        <v>22</v>
      </c>
      <c r="B2" s="27"/>
      <c r="C2" s="27"/>
      <c r="D2" s="27"/>
      <c r="E2" s="27"/>
      <c r="F2" s="27"/>
      <c r="G2" s="27"/>
      <c r="H2" s="27"/>
    </row>
    <row r="3" spans="1:8" ht="34.5" customHeight="1" x14ac:dyDescent="0.25">
      <c r="A3" s="28" t="s">
        <v>48</v>
      </c>
      <c r="B3" s="28"/>
      <c r="C3" s="28"/>
      <c r="D3" s="28"/>
      <c r="E3" s="28"/>
      <c r="F3" s="28"/>
      <c r="G3" s="28"/>
      <c r="H3" s="28"/>
    </row>
    <row r="4" spans="1:8" ht="27" x14ac:dyDescent="0.25">
      <c r="A4" s="12" t="s">
        <v>0</v>
      </c>
      <c r="B4" s="13" t="s">
        <v>29</v>
      </c>
      <c r="C4" s="13" t="s">
        <v>2</v>
      </c>
      <c r="D4" s="13" t="s">
        <v>31</v>
      </c>
      <c r="E4" s="13" t="s">
        <v>30</v>
      </c>
      <c r="F4" s="13" t="s">
        <v>3</v>
      </c>
      <c r="G4" s="13" t="s">
        <v>5</v>
      </c>
      <c r="H4" s="13" t="s">
        <v>6</v>
      </c>
    </row>
    <row r="5" spans="1:8" x14ac:dyDescent="0.25">
      <c r="A5" s="19"/>
      <c r="B5" s="19"/>
      <c r="C5" s="19"/>
      <c r="D5" s="20"/>
      <c r="E5" s="19"/>
      <c r="F5" s="21"/>
      <c r="G5" s="21"/>
      <c r="H5" s="19"/>
    </row>
    <row r="6" spans="1:8" x14ac:dyDescent="0.25">
      <c r="A6" s="19"/>
      <c r="B6" s="19"/>
      <c r="C6" s="19"/>
      <c r="D6" s="20"/>
      <c r="E6" s="19"/>
      <c r="F6" s="21"/>
      <c r="G6" s="21"/>
      <c r="H6" s="19"/>
    </row>
    <row r="7" spans="1:8" x14ac:dyDescent="0.25">
      <c r="A7" s="19"/>
      <c r="B7" s="19"/>
      <c r="C7" s="19"/>
      <c r="D7" s="20"/>
      <c r="E7" s="19"/>
      <c r="F7" s="21"/>
      <c r="G7" s="23"/>
      <c r="H7" s="19"/>
    </row>
    <row r="8" spans="1:8" x14ac:dyDescent="0.25">
      <c r="A8" s="19"/>
      <c r="B8" s="19"/>
      <c r="C8" s="19"/>
      <c r="D8" s="20"/>
      <c r="E8" s="19"/>
      <c r="F8" s="21"/>
      <c r="G8" s="23"/>
      <c r="H8" s="19"/>
    </row>
    <row r="9" spans="1:8" x14ac:dyDescent="0.25">
      <c r="A9" s="19"/>
      <c r="B9" s="19"/>
      <c r="C9" s="19"/>
      <c r="D9" s="20"/>
      <c r="E9" s="19"/>
      <c r="F9" s="22"/>
      <c r="G9" s="23"/>
      <c r="H9" s="19"/>
    </row>
    <row r="10" spans="1:8" x14ac:dyDescent="0.25">
      <c r="A10" s="19"/>
      <c r="B10" s="19"/>
      <c r="C10" s="19"/>
      <c r="D10" s="20"/>
      <c r="E10" s="19"/>
      <c r="F10" s="21"/>
      <c r="G10" s="23"/>
      <c r="H10" s="19"/>
    </row>
    <row r="11" spans="1:8" x14ac:dyDescent="0.25">
      <c r="A11" s="19"/>
      <c r="B11" s="19"/>
      <c r="C11" s="19"/>
      <c r="D11" s="20"/>
      <c r="E11" s="19"/>
      <c r="F11" s="21"/>
      <c r="G11" s="23"/>
      <c r="H11" s="19"/>
    </row>
    <row r="12" spans="1:8" x14ac:dyDescent="0.25">
      <c r="A12" s="19"/>
      <c r="B12" s="19"/>
      <c r="C12" s="19"/>
      <c r="D12" s="20"/>
      <c r="E12" s="19"/>
      <c r="F12" s="21"/>
      <c r="G12" s="21"/>
      <c r="H12" s="19"/>
    </row>
    <row r="13" spans="1:8" x14ac:dyDescent="0.25">
      <c r="A13" s="19"/>
      <c r="B13" s="19"/>
      <c r="C13" s="19"/>
      <c r="D13" s="20"/>
      <c r="E13" s="19"/>
      <c r="F13" s="21"/>
      <c r="G13" s="21"/>
      <c r="H13" s="19"/>
    </row>
    <row r="14" spans="1:8" x14ac:dyDescent="0.25">
      <c r="A14" s="19"/>
      <c r="B14" s="19"/>
      <c r="C14" s="19"/>
      <c r="D14" s="20"/>
      <c r="E14" s="19"/>
      <c r="F14" s="21"/>
      <c r="G14" s="21"/>
      <c r="H14" s="19"/>
    </row>
    <row r="15" spans="1:8" x14ac:dyDescent="0.25">
      <c r="A15" s="19"/>
      <c r="B15" s="19"/>
      <c r="C15" s="19"/>
      <c r="D15" s="20"/>
      <c r="E15" s="19"/>
      <c r="F15" s="21"/>
      <c r="G15" s="21"/>
      <c r="H15" s="19"/>
    </row>
    <row r="16" spans="1:8" x14ac:dyDescent="0.25">
      <c r="A16" s="19"/>
      <c r="B16" s="19"/>
      <c r="C16" s="19"/>
      <c r="D16" s="20"/>
      <c r="E16" s="19"/>
      <c r="F16" s="21"/>
      <c r="G16" s="21"/>
      <c r="H16" s="19"/>
    </row>
    <row r="17" spans="1:8" x14ac:dyDescent="0.25">
      <c r="A17" s="19"/>
      <c r="B17" s="19"/>
      <c r="C17" s="19"/>
      <c r="D17" s="20"/>
      <c r="E17" s="19"/>
      <c r="F17" s="21"/>
      <c r="G17" s="21"/>
      <c r="H17" s="19"/>
    </row>
    <row r="18" spans="1:8" x14ac:dyDescent="0.25">
      <c r="A18" s="19"/>
      <c r="B18" s="19"/>
      <c r="C18" s="19"/>
      <c r="D18" s="20"/>
      <c r="E18" s="19"/>
      <c r="F18" s="21"/>
      <c r="G18" s="21"/>
      <c r="H18" s="19"/>
    </row>
    <row r="19" spans="1:8" x14ac:dyDescent="0.25">
      <c r="A19" s="19"/>
      <c r="B19" s="19"/>
      <c r="C19" s="19"/>
      <c r="D19" s="20"/>
      <c r="E19" s="19"/>
      <c r="F19" s="21"/>
      <c r="G19" s="23"/>
      <c r="H19" s="19"/>
    </row>
    <row r="20" spans="1:8" x14ac:dyDescent="0.25">
      <c r="A20" s="19"/>
      <c r="B20" s="19"/>
      <c r="C20" s="19"/>
      <c r="D20" s="20"/>
      <c r="E20" s="19"/>
      <c r="F20" s="21"/>
      <c r="G20" s="21"/>
      <c r="H20" s="19"/>
    </row>
    <row r="21" spans="1:8" x14ac:dyDescent="0.25">
      <c r="A21" s="19"/>
      <c r="B21" s="19"/>
      <c r="C21" s="19"/>
      <c r="D21" s="20"/>
      <c r="E21" s="19"/>
      <c r="F21" s="21"/>
      <c r="G21" s="21"/>
      <c r="H21" s="19"/>
    </row>
    <row r="22" spans="1:8" x14ac:dyDescent="0.25">
      <c r="A22" s="19"/>
      <c r="B22" s="19"/>
      <c r="C22" s="19"/>
      <c r="D22" s="20"/>
      <c r="E22" s="19"/>
      <c r="F22" s="21"/>
      <c r="G22" s="21"/>
      <c r="H22" s="19"/>
    </row>
    <row r="23" spans="1:8" x14ac:dyDescent="0.25">
      <c r="A23" s="19"/>
      <c r="B23" s="19"/>
      <c r="C23" s="19"/>
      <c r="D23" s="20"/>
      <c r="E23" s="19"/>
      <c r="F23" s="21"/>
      <c r="G23" s="21"/>
      <c r="H23" s="19"/>
    </row>
    <row r="24" spans="1:8" x14ac:dyDescent="0.25">
      <c r="A24" s="19"/>
      <c r="B24" s="19"/>
      <c r="C24" s="19"/>
      <c r="D24" s="20"/>
      <c r="E24" s="19"/>
      <c r="F24" s="21"/>
      <c r="G24" s="21"/>
      <c r="H24" s="19"/>
    </row>
    <row r="25" spans="1:8" x14ac:dyDescent="0.25">
      <c r="A25" s="19"/>
      <c r="B25" s="19"/>
      <c r="C25" s="19"/>
      <c r="D25" s="20"/>
      <c r="E25" s="19"/>
      <c r="F25" s="21"/>
      <c r="G25" s="21"/>
      <c r="H25" s="19"/>
    </row>
    <row r="26" spans="1:8" x14ac:dyDescent="0.25">
      <c r="A26" s="19"/>
      <c r="B26" s="19"/>
      <c r="C26" s="19"/>
      <c r="D26" s="20"/>
      <c r="E26" s="19"/>
      <c r="F26" s="21"/>
      <c r="G26" s="21"/>
      <c r="H26" s="19"/>
    </row>
    <row r="27" spans="1:8" x14ac:dyDescent="0.25">
      <c r="A27" s="19"/>
      <c r="B27" s="19"/>
      <c r="C27" s="19"/>
      <c r="D27" s="20"/>
      <c r="E27" s="19"/>
      <c r="F27" s="21"/>
      <c r="G27" s="21"/>
      <c r="H27" s="19"/>
    </row>
    <row r="28" spans="1:8" x14ac:dyDescent="0.25">
      <c r="A28" s="19"/>
      <c r="B28" s="19"/>
      <c r="C28" s="19"/>
      <c r="D28" s="20"/>
      <c r="E28" s="19"/>
      <c r="F28" s="21"/>
      <c r="G28" s="21"/>
      <c r="H28" s="19"/>
    </row>
    <row r="29" spans="1:8" x14ac:dyDescent="0.25">
      <c r="A29" s="19"/>
      <c r="B29" s="19"/>
      <c r="C29" s="19"/>
      <c r="D29" s="20"/>
      <c r="E29" s="19"/>
      <c r="F29" s="21"/>
      <c r="G29" s="21"/>
      <c r="H29" s="19"/>
    </row>
    <row r="30" spans="1:8" x14ac:dyDescent="0.25">
      <c r="A30" s="19"/>
      <c r="B30" s="19"/>
      <c r="C30" s="19"/>
      <c r="D30" s="20"/>
      <c r="E30" s="19"/>
      <c r="F30" s="21"/>
      <c r="G30" s="21"/>
      <c r="H30" s="19"/>
    </row>
    <row r="31" spans="1:8" x14ac:dyDescent="0.25">
      <c r="A31" s="19"/>
      <c r="B31" s="19"/>
      <c r="C31" s="19"/>
      <c r="D31" s="20"/>
      <c r="E31" s="19"/>
      <c r="F31" s="21"/>
      <c r="G31" s="21"/>
      <c r="H31" s="19"/>
    </row>
    <row r="32" spans="1:8" x14ac:dyDescent="0.25">
      <c r="A32" s="19"/>
      <c r="B32" s="19"/>
      <c r="C32" s="19"/>
      <c r="D32" s="20"/>
      <c r="E32" s="19"/>
      <c r="F32" s="21"/>
      <c r="G32" s="21"/>
      <c r="H32" s="19"/>
    </row>
    <row r="33" spans="1:8" x14ac:dyDescent="0.25">
      <c r="A33" s="19"/>
      <c r="B33" s="19"/>
      <c r="C33" s="19"/>
      <c r="D33" s="20"/>
      <c r="E33" s="19"/>
      <c r="F33" s="21"/>
      <c r="G33" s="21"/>
      <c r="H33" s="19"/>
    </row>
    <row r="34" spans="1:8" x14ac:dyDescent="0.25">
      <c r="A34" s="19"/>
      <c r="B34" s="19"/>
      <c r="C34" s="19"/>
      <c r="D34" s="20"/>
      <c r="E34" s="19"/>
      <c r="F34" s="21"/>
      <c r="G34" s="21"/>
      <c r="H34" s="19"/>
    </row>
    <row r="35" spans="1:8" x14ac:dyDescent="0.25">
      <c r="A35" s="19"/>
      <c r="B35" s="19"/>
      <c r="C35" s="19"/>
      <c r="D35" s="20"/>
      <c r="E35" s="19"/>
      <c r="F35" s="21"/>
      <c r="G35" s="21"/>
      <c r="H35" s="19"/>
    </row>
    <row r="36" spans="1:8" x14ac:dyDescent="0.25">
      <c r="A36" s="19"/>
      <c r="B36" s="19"/>
      <c r="C36" s="19"/>
      <c r="D36" s="20"/>
      <c r="E36" s="19"/>
      <c r="F36" s="21"/>
      <c r="G36" s="21"/>
      <c r="H36" s="19"/>
    </row>
    <row r="37" spans="1:8" x14ac:dyDescent="0.25">
      <c r="A37" s="19"/>
      <c r="B37" s="19"/>
      <c r="C37" s="19"/>
      <c r="D37" s="20"/>
      <c r="E37" s="19"/>
      <c r="F37" s="21"/>
      <c r="G37" s="21"/>
      <c r="H37" s="19"/>
    </row>
    <row r="38" spans="1:8" x14ac:dyDescent="0.25">
      <c r="A38" s="19"/>
      <c r="B38" s="19"/>
      <c r="C38" s="19"/>
      <c r="D38" s="20"/>
      <c r="E38" s="19"/>
      <c r="F38" s="21"/>
      <c r="G38" s="21"/>
      <c r="H38" s="19"/>
    </row>
    <row r="39" spans="1:8" x14ac:dyDescent="0.25">
      <c r="A39" s="19"/>
      <c r="B39" s="19"/>
      <c r="C39" s="19"/>
      <c r="D39" s="20"/>
      <c r="E39" s="19"/>
      <c r="F39" s="21"/>
      <c r="G39" s="21"/>
      <c r="H39" s="19"/>
    </row>
    <row r="40" spans="1:8" x14ac:dyDescent="0.25">
      <c r="A40" s="19"/>
      <c r="B40" s="19"/>
      <c r="C40" s="19"/>
      <c r="D40" s="20"/>
      <c r="E40" s="19"/>
      <c r="F40" s="21"/>
      <c r="G40" s="21"/>
      <c r="H40" s="19"/>
    </row>
    <row r="41" spans="1:8" x14ac:dyDescent="0.25">
      <c r="A41" s="19"/>
      <c r="B41" s="19"/>
      <c r="C41" s="19"/>
      <c r="D41" s="20"/>
      <c r="E41" s="19"/>
      <c r="F41" s="21"/>
      <c r="G41" s="21"/>
      <c r="H41" s="19"/>
    </row>
    <row r="42" spans="1:8" x14ac:dyDescent="0.25">
      <c r="A42" s="19"/>
      <c r="B42" s="19"/>
      <c r="C42" s="19"/>
      <c r="D42" s="20"/>
      <c r="E42" s="19"/>
      <c r="F42" s="21"/>
      <c r="G42" s="21"/>
      <c r="H42" s="19"/>
    </row>
    <row r="43" spans="1:8" x14ac:dyDescent="0.25">
      <c r="A43" s="19"/>
      <c r="B43" s="19"/>
      <c r="C43" s="19"/>
      <c r="D43" s="20"/>
      <c r="E43" s="19"/>
      <c r="F43" s="21"/>
      <c r="G43" s="21"/>
      <c r="H43" s="19"/>
    </row>
    <row r="44" spans="1:8" x14ac:dyDescent="0.25">
      <c r="A44" s="19"/>
      <c r="B44" s="19"/>
      <c r="C44" s="19"/>
      <c r="D44" s="20"/>
      <c r="E44" s="19"/>
      <c r="F44" s="21"/>
      <c r="G44" s="21"/>
      <c r="H44" s="19"/>
    </row>
    <row r="45" spans="1:8" x14ac:dyDescent="0.25">
      <c r="A45" s="19"/>
      <c r="B45" s="19"/>
      <c r="C45" s="19"/>
      <c r="D45" s="20"/>
      <c r="E45" s="19"/>
      <c r="F45" s="21"/>
      <c r="G45" s="21"/>
      <c r="H45" s="19"/>
    </row>
    <row r="46" spans="1:8" x14ac:dyDescent="0.25">
      <c r="A46" s="19"/>
      <c r="B46" s="19"/>
      <c r="C46" s="19"/>
      <c r="D46" s="20"/>
      <c r="E46" s="19"/>
      <c r="F46" s="21"/>
      <c r="G46" s="21"/>
      <c r="H46" s="19"/>
    </row>
    <row r="47" spans="1:8" x14ac:dyDescent="0.25">
      <c r="A47" s="19"/>
      <c r="B47" s="19"/>
      <c r="C47" s="19"/>
      <c r="D47" s="20"/>
      <c r="E47" s="19"/>
      <c r="F47" s="21"/>
      <c r="G47" s="21"/>
      <c r="H47" s="19"/>
    </row>
    <row r="48" spans="1:8" x14ac:dyDescent="0.25">
      <c r="A48" s="19"/>
      <c r="B48" s="19"/>
      <c r="C48" s="19"/>
      <c r="D48" s="20"/>
      <c r="E48" s="19"/>
      <c r="F48" s="21"/>
      <c r="G48" s="21"/>
      <c r="H48" s="19"/>
    </row>
    <row r="49" spans="1:8" x14ac:dyDescent="0.25">
      <c r="A49" s="19"/>
      <c r="B49" s="19"/>
      <c r="C49" s="19"/>
      <c r="D49" s="20"/>
      <c r="E49" s="19"/>
      <c r="F49" s="21"/>
      <c r="G49" s="21"/>
      <c r="H49" s="19"/>
    </row>
    <row r="50" spans="1:8" x14ac:dyDescent="0.25">
      <c r="A50" s="19"/>
      <c r="B50" s="19"/>
      <c r="C50" s="19"/>
      <c r="D50" s="20"/>
      <c r="E50" s="19"/>
      <c r="F50" s="21"/>
      <c r="G50" s="21"/>
      <c r="H50" s="19"/>
    </row>
    <row r="51" spans="1:8" x14ac:dyDescent="0.25">
      <c r="A51" s="19"/>
      <c r="B51" s="19"/>
      <c r="C51" s="19"/>
      <c r="D51" s="20"/>
      <c r="E51" s="19"/>
      <c r="F51" s="21"/>
      <c r="G51" s="21"/>
      <c r="H51" s="19"/>
    </row>
    <row r="52" spans="1:8" x14ac:dyDescent="0.25">
      <c r="A52" s="19"/>
      <c r="B52" s="19"/>
      <c r="C52" s="19"/>
      <c r="D52" s="20"/>
      <c r="E52" s="19"/>
      <c r="F52" s="21"/>
      <c r="G52" s="21"/>
      <c r="H52" s="19"/>
    </row>
    <row r="53" spans="1:8" x14ac:dyDescent="0.25">
      <c r="A53" s="19"/>
      <c r="B53" s="19"/>
      <c r="C53" s="19"/>
      <c r="D53" s="20"/>
      <c r="E53" s="19"/>
      <c r="F53" s="21"/>
      <c r="G53" s="21"/>
      <c r="H53" s="19"/>
    </row>
    <row r="54" spans="1:8" x14ac:dyDescent="0.25">
      <c r="A54" s="19"/>
      <c r="B54" s="19"/>
      <c r="C54" s="19"/>
      <c r="D54" s="20"/>
      <c r="E54" s="19"/>
      <c r="F54" s="21"/>
      <c r="G54" s="21"/>
      <c r="H54" s="19"/>
    </row>
    <row r="55" spans="1:8" x14ac:dyDescent="0.25">
      <c r="A55" s="19"/>
      <c r="B55" s="19"/>
      <c r="C55" s="19"/>
      <c r="D55" s="20"/>
      <c r="E55" s="19"/>
      <c r="F55" s="21"/>
      <c r="G55" s="21"/>
      <c r="H55" s="19"/>
    </row>
    <row r="56" spans="1:8" x14ac:dyDescent="0.25">
      <c r="A56" s="19"/>
      <c r="B56" s="19"/>
      <c r="C56" s="19"/>
      <c r="D56" s="20"/>
      <c r="E56" s="19"/>
      <c r="F56" s="21"/>
      <c r="G56" s="21"/>
      <c r="H56" s="19"/>
    </row>
    <row r="57" spans="1:8" x14ac:dyDescent="0.25">
      <c r="A57" s="19"/>
      <c r="B57" s="19"/>
      <c r="C57" s="19"/>
      <c r="D57" s="20"/>
      <c r="E57" s="19"/>
      <c r="F57" s="21"/>
      <c r="G57" s="21"/>
      <c r="H57" s="19"/>
    </row>
    <row r="58" spans="1:8" x14ac:dyDescent="0.25">
      <c r="A58" s="19"/>
      <c r="B58" s="19"/>
      <c r="C58" s="19"/>
      <c r="D58" s="20"/>
      <c r="E58" s="19"/>
      <c r="F58" s="22"/>
      <c r="G58" s="21"/>
      <c r="H58" s="19"/>
    </row>
    <row r="59" spans="1:8" x14ac:dyDescent="0.25">
      <c r="A59" s="19"/>
      <c r="B59" s="19"/>
      <c r="C59" s="19"/>
      <c r="D59" s="20"/>
      <c r="E59" s="19"/>
      <c r="F59" s="21"/>
      <c r="G59" s="21"/>
      <c r="H59" s="19"/>
    </row>
    <row r="60" spans="1:8" x14ac:dyDescent="0.25"/>
    <row r="61" spans="1:8" x14ac:dyDescent="0.25"/>
    <row r="62" spans="1:8" x14ac:dyDescent="0.25"/>
    <row r="63" spans="1:8" x14ac:dyDescent="0.25"/>
    <row r="64" spans="1:8" x14ac:dyDescent="0.25"/>
    <row r="65" x14ac:dyDescent="0.25"/>
    <row r="66" x14ac:dyDescent="0.25"/>
    <row r="67" x14ac:dyDescent="0.25"/>
    <row r="68" x14ac:dyDescent="0.25"/>
    <row r="69" x14ac:dyDescent="0.25"/>
    <row r="70" x14ac:dyDescent="0.25"/>
    <row r="71" x14ac:dyDescent="0.25"/>
  </sheetData>
  <mergeCells count="3">
    <mergeCell ref="A1:H1"/>
    <mergeCell ref="A2:H2"/>
    <mergeCell ref="A3:H3"/>
  </mergeCells>
  <pageMargins left="0.7" right="0.7" top="0.75" bottom="0.75" header="0.3" footer="0.3"/>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C6"/>
  <sheetViews>
    <sheetView workbookViewId="0">
      <selection activeCell="C6" sqref="C6"/>
    </sheetView>
  </sheetViews>
  <sheetFormatPr defaultRowHeight="15" x14ac:dyDescent="0.25"/>
  <cols>
    <col min="2" max="2" width="5.5703125" customWidth="1"/>
    <col min="3" max="3" width="77.28515625" customWidth="1"/>
    <col min="4" max="4" width="17.7109375" customWidth="1"/>
    <col min="5" max="5" width="12.85546875" bestFit="1" customWidth="1"/>
  </cols>
  <sheetData>
    <row r="2" spans="1:3" x14ac:dyDescent="0.25">
      <c r="A2">
        <v>1</v>
      </c>
      <c r="B2">
        <v>1</v>
      </c>
      <c r="C2" t="s">
        <v>50</v>
      </c>
    </row>
    <row r="3" spans="1:3" x14ac:dyDescent="0.25">
      <c r="B3">
        <v>2</v>
      </c>
      <c r="C3" t="s">
        <v>51</v>
      </c>
    </row>
    <row r="5" spans="1:3" x14ac:dyDescent="0.25">
      <c r="A5">
        <v>2</v>
      </c>
      <c r="B5">
        <v>1</v>
      </c>
      <c r="C5" t="s">
        <v>52</v>
      </c>
    </row>
    <row r="6" spans="1:3" x14ac:dyDescent="0.25">
      <c r="B6">
        <v>2</v>
      </c>
      <c r="C6" t="s">
        <v>53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86811F09162B8B458D9877D765B973F1" ma:contentTypeVersion="" ma:contentTypeDescription="Create a new document." ma:contentTypeScope="" ma:versionID="0cf935722e41f27c3b47505c17fb92eb">
  <xsd:schema xmlns:xsd="http://www.w3.org/2001/XMLSchema" xmlns:xs="http://www.w3.org/2001/XMLSchema" xmlns:p="http://schemas.microsoft.com/office/2006/metadata/properties" targetNamespace="http://schemas.microsoft.com/office/2006/metadata/properties" ma:root="true" ma:fieldsID="55b8101cddd13450c72f31ebe323237b">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DDA3E43-07B9-407A-8E3B-1C6F41E11137}">
  <ds:schemaRefs>
    <ds:schemaRef ds:uri="http://schemas.microsoft.com/sharepoint/v3/contenttype/forms"/>
  </ds:schemaRefs>
</ds:datastoreItem>
</file>

<file path=customXml/itemProps2.xml><?xml version="1.0" encoding="utf-8"?>
<ds:datastoreItem xmlns:ds="http://schemas.openxmlformats.org/officeDocument/2006/customXml" ds:itemID="{5DEA01D9-602B-4294-B7F0-83A8216FB6F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3.xml><?xml version="1.0" encoding="utf-8"?>
<ds:datastoreItem xmlns:ds="http://schemas.openxmlformats.org/officeDocument/2006/customXml" ds:itemID="{2D6F3AD6-0045-4C19-99BD-63D0E68E91DD}">
  <ds:schemaRefs>
    <ds:schemaRef ds:uri="http://www.w3.org/XML/1998/namespace"/>
    <ds:schemaRef ds:uri="http://schemas.microsoft.com/office/infopath/2007/PartnerControls"/>
    <ds:schemaRef ds:uri="http://purl.org/dc/elements/1.1/"/>
    <ds:schemaRef ds:uri="http://schemas.microsoft.com/office/2006/documentManagement/types"/>
    <ds:schemaRef ds:uri="http://schemas.microsoft.com/office/2006/metadata/properties"/>
    <ds:schemaRef ds:uri="http://schemas.openxmlformats.org/package/2006/metadata/core-properties"/>
    <ds:schemaRef ds:uri="http://purl.org/dc/dcmitype/"/>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Home</vt:lpstr>
      <vt:lpstr>InfoModelling</vt:lpstr>
      <vt:lpstr>Rules</vt:lpstr>
      <vt:lpstr>TypeDictionary</vt:lpstr>
      <vt:lpstr>wrapperNo</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Nathan Pocock</dc:creator>
  <cp:lastModifiedBy>Mariusz Postol</cp:lastModifiedBy>
  <dcterms:created xsi:type="dcterms:W3CDTF">2013-10-09T21:34:21Z</dcterms:created>
  <dcterms:modified xsi:type="dcterms:W3CDTF">2015-06-20T21:07:10Z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0x01010086811F09162B8B458D9877D765B973F1</vt:lpwstr>
  </property>
</Properties>
</file>